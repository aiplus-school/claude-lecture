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BS" sheetId="1" state="visible" r:id="rId3"/>
    <sheet name="サマリ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<sst xmlns="http://schemas.openxmlformats.org/spreadsheetml/2006/main" count="150" uniqueCount="55">
  <si>
    <r>
      <rPr>
        <b val="true"/>
        <sz val="14"/>
        <rFont val="Arial"/>
        <family val="0"/>
        <charset val="1"/>
      </rPr>
      <t xml:space="preserve">WBS</t>
    </r>
    <r>
      <rPr>
        <b val="true"/>
        <sz val="14"/>
        <rFont val="Noto Sans CJK SC"/>
        <family val="2"/>
      </rPr>
      <t xml:space="preserve">：</t>
    </r>
    <r>
      <rPr>
        <b val="true"/>
        <sz val="14"/>
        <rFont val="Arial"/>
        <family val="0"/>
        <charset val="1"/>
      </rPr>
      <t xml:space="preserve">AI</t>
    </r>
    <r>
      <rPr>
        <b val="true"/>
        <sz val="14"/>
        <rFont val="Noto Sans CJK SC"/>
        <family val="2"/>
      </rPr>
      <t xml:space="preserve">講座 動画制作（</t>
    </r>
    <r>
      <rPr>
        <b val="true"/>
        <sz val="14"/>
        <rFont val="Arial"/>
        <family val="0"/>
        <charset val="1"/>
      </rPr>
      <t xml:space="preserve">n8n / Remotion / HiggsField</t>
    </r>
    <r>
      <rPr>
        <b val="true"/>
        <sz val="14"/>
        <rFont val="Noto Sans CJK SC"/>
        <family val="2"/>
      </rPr>
      <t xml:space="preserve">）</t>
    </r>
  </si>
  <si>
    <t xml:space="preserve">工数前提：テーマごとにリサーチ・内容決定 3〜4h ＋ 制作 5〜6h = 8〜10h（上司見積もりベース）。動画は各テーマ1本、計3本。</t>
  </si>
  <si>
    <t xml:space="preserve">WBS No</t>
  </si>
  <si>
    <t xml:space="preserve">テーマ</t>
  </si>
  <si>
    <t xml:space="preserve">フェーズ</t>
  </si>
  <si>
    <t xml:space="preserve">タスク</t>
  </si>
  <si>
    <t xml:space="preserve">主な成果物</t>
  </si>
  <si>
    <t xml:space="preserve">工数下限(h)</t>
  </si>
  <si>
    <t xml:space="preserve">工数上限(h)</t>
  </si>
  <si>
    <t xml:space="preserve">担当</t>
  </si>
  <si>
    <t xml:space="preserve">ステータス</t>
  </si>
  <si>
    <t xml:space="preserve">備考</t>
  </si>
  <si>
    <t xml:space="preserve">1-1</t>
  </si>
  <si>
    <t xml:space="preserve">n8n MCP × Claude Code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</si>
  <si>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リサーチ・内容決定</t>
    </r>
  </si>
  <si>
    <t xml:space="preserve">概要・実用事例のリサーチ</t>
  </si>
  <si>
    <t xml:space="preserve">リサーチメモ</t>
  </si>
  <si>
    <t xml:space="preserve">永藤</t>
  </si>
  <si>
    <t xml:space="preserve">未着手</t>
  </si>
  <si>
    <t xml:space="preserve">1-2</t>
  </si>
  <si>
    <t xml:space="preserve">実際に使ってみる（検証）</t>
  </si>
  <si>
    <t xml:space="preserve">検証ログ・サンプル</t>
  </si>
  <si>
    <t xml:space="preserve">1-3</t>
  </si>
  <si>
    <t xml:space="preserve">講座で扱う内容の決定</t>
  </si>
  <si>
    <t xml:space="preserve">内容アウトライン</t>
  </si>
  <si>
    <t xml:space="preserve">1-4</t>
  </si>
  <si>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制作（台本・収録・スライド）</t>
    </r>
  </si>
  <si>
    <t xml:space="preserve">台本作成</t>
  </si>
  <si>
    <t xml:space="preserve">台本</t>
  </si>
  <si>
    <t xml:space="preserve">1-5</t>
  </si>
  <si>
    <t xml:space="preserve">スライド作成</t>
  </si>
  <si>
    <t xml:space="preserve">スライド</t>
  </si>
  <si>
    <t xml:space="preserve">1-6</t>
  </si>
  <si>
    <t xml:space="preserve">画面収録</t>
  </si>
  <si>
    <t xml:space="preserve">収録データ</t>
  </si>
  <si>
    <t xml:space="preserve">【n8n MCP × Claude Code】小計</t>
  </si>
  <si>
    <t xml:space="preserve">2-1</t>
  </si>
  <si>
    <t xml:space="preserve">Remotion × Claude Code</t>
  </si>
  <si>
    <t xml:space="preserve">2-2</t>
  </si>
  <si>
    <t xml:space="preserve">2-3</t>
  </si>
  <si>
    <t xml:space="preserve">2-4</t>
  </si>
  <si>
    <t xml:space="preserve">2-5</t>
  </si>
  <si>
    <t xml:space="preserve">2-6</t>
  </si>
  <si>
    <t xml:space="preserve">【Remotion × Claude Code】小計</t>
  </si>
  <si>
    <t xml:space="preserve">3-1</t>
  </si>
  <si>
    <t xml:space="preserve">HiggsField MCP × Claude Code</t>
  </si>
  <si>
    <t xml:space="preserve">3-2</t>
  </si>
  <si>
    <t xml:space="preserve">3-3</t>
  </si>
  <si>
    <t xml:space="preserve">3-4</t>
  </si>
  <si>
    <t xml:space="preserve">3-5</t>
  </si>
  <si>
    <t xml:space="preserve">3-6</t>
  </si>
  <si>
    <t xml:space="preserve">【HiggsField MCP × Claude Code】小計</t>
  </si>
  <si>
    <t xml:space="preserve">総計（全テーマ）</t>
  </si>
  <si>
    <t xml:space="preserve">サマリ：テーマ別工数</t>
  </si>
  <si>
    <t xml:space="preserve">総計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</si>
</sst>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i val="true"/>
      <sz val="9"/>
      <color rgb="FF555555"/>
      <name val="Noto Sans CJK SC"/>
      <family val="2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sz val="10"/>
      <name val="Noto Sans CJK SC"/>
      <family val="2"/>
      <charset val="1"/>
    </font>
    <font>
      <b val="true"/>
      <sz val="10"/>
      <name val="Arial"/>
      <family val="0"/>
      <charset val="1"/>
    </font>
    <font>
      <b val="true"/>
      <sz val="10"/>
      <name val="Noto Sans CJK SC"/>
      <family val="2"/>
      <charset val="1"/>
    </font>
    <font>
      <b val="true"/>
      <sz val="11"/>
      <name val="Arial"/>
      <family val="0"/>
      <charset val="1"/>
    </font>
    <font>
      <b val="true"/>
      <sz val="11"/>
      <name val="Noto Sans CJK SC"/>
      <family val="2"/>
      <charset val="1"/>
    </font>
    <font>
      <b val="true"/>
      <sz val="14"/>
      <name val="Noto Sans CJK SC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555555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4"/>
    <col collapsed="false" customWidth="true" hidden="false" outlineLevel="0" max="4" min="3" style="1" width="22"/>
    <col collapsed="false" customWidth="true" hidden="false" outlineLevel="0" max="5" min="5" style="1" width="18"/>
    <col collapsed="false" customWidth="true" hidden="false" outlineLevel="0" max="7" min="6" style="1" width="12"/>
    <col collapsed="false" customWidth="true" hidden="false" outlineLevel="0" max="8" min="8" style="1" width="8"/>
    <col collapsed="false" customWidth="true" hidden="false" outlineLevel="0" max="9" min="9" style="1" width="11"/>
    <col collapsed="false" customWidth="true" hidden="false" outlineLevel="0" max="10" min="10" style="1" width="24"/>
  </cols>
  <sheetData>
    <row r="1" customFormat="false" ht="21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6.5" hidden="false" customHeight="true" outlineLevel="0" collapsed="false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customFormat="false" ht="29.25" hidden="false" customHeight="true" outlineLevel="0" collapsed="false">
      <c r="A5" s="6" t="s">
        <v>12</v>
      </c>
      <c r="B5" s="6" t="s">
        <v>13</v>
      </c>
      <c r="C5" s="7" t="s">
        <v>14</v>
      </c>
      <c r="D5" s="8" t="s">
        <v>15</v>
      </c>
      <c r="E5" s="8" t="s">
        <v>16</v>
      </c>
      <c r="F5" s="6" t="n">
        <v>1</v>
      </c>
      <c r="G5" s="6" t="n">
        <v>1</v>
      </c>
      <c r="H5" s="9" t="s">
        <v>17</v>
      </c>
      <c r="I5" s="9" t="s">
        <v>18</v>
      </c>
      <c r="J5" s="7"/>
    </row>
    <row r="6" customFormat="false" ht="29.25" hidden="false" customHeight="true" outlineLevel="0" collapsed="false">
      <c r="A6" s="6" t="s">
        <v>19</v>
      </c>
      <c r="B6" s="6" t="s">
        <v>13</v>
      </c>
      <c r="C6" s="7" t="s">
        <v>14</v>
      </c>
      <c r="D6" s="8" t="s">
        <v>20</v>
      </c>
      <c r="E6" s="8" t="s">
        <v>21</v>
      </c>
      <c r="F6" s="6" t="n">
        <v>2</v>
      </c>
      <c r="G6" s="6" t="n">
        <v>2.5</v>
      </c>
      <c r="H6" s="9" t="s">
        <v>17</v>
      </c>
      <c r="I6" s="9" t="s">
        <v>18</v>
      </c>
      <c r="J6" s="7"/>
    </row>
    <row r="7" customFormat="false" ht="15" hidden="false" customHeight="true" outlineLevel="0" collapsed="false">
      <c r="A7" s="6" t="s">
        <v>22</v>
      </c>
      <c r="B7" s="6" t="s">
        <v>13</v>
      </c>
      <c r="C7" s="7" t="s">
        <v>14</v>
      </c>
      <c r="D7" s="8" t="s">
        <v>23</v>
      </c>
      <c r="E7" s="8" t="s">
        <v>24</v>
      </c>
      <c r="F7" s="6" t="n">
        <v>0.5</v>
      </c>
      <c r="G7" s="6" t="n">
        <v>0.5</v>
      </c>
      <c r="H7" s="9" t="s">
        <v>17</v>
      </c>
      <c r="I7" s="9" t="s">
        <v>18</v>
      </c>
      <c r="J7" s="7"/>
    </row>
    <row r="8" customFormat="false" ht="29.25" hidden="false" customHeight="true" outlineLevel="0" collapsed="false">
      <c r="A8" s="6" t="s">
        <v>25</v>
      </c>
      <c r="B8" s="6" t="s">
        <v>13</v>
      </c>
      <c r="C8" s="7" t="s">
        <v>26</v>
      </c>
      <c r="D8" s="8" t="s">
        <v>27</v>
      </c>
      <c r="E8" s="8" t="s">
        <v>28</v>
      </c>
      <c r="F8" s="6" t="n">
        <v>2</v>
      </c>
      <c r="G8" s="6" t="n">
        <v>2.5</v>
      </c>
      <c r="H8" s="9" t="s">
        <v>17</v>
      </c>
      <c r="I8" s="9" t="s">
        <v>18</v>
      </c>
      <c r="J8" s="7"/>
    </row>
    <row r="9" customFormat="false" ht="29.25" hidden="false" customHeight="true" outlineLevel="0" collapsed="false">
      <c r="A9" s="6" t="s">
        <v>29</v>
      </c>
      <c r="B9" s="6" t="s">
        <v>13</v>
      </c>
      <c r="C9" s="7" t="s">
        <v>26</v>
      </c>
      <c r="D9" s="8" t="s">
        <v>30</v>
      </c>
      <c r="E9" s="8" t="s">
        <v>31</v>
      </c>
      <c r="F9" s="6" t="n">
        <v>1.5</v>
      </c>
      <c r="G9" s="6" t="n">
        <v>2</v>
      </c>
      <c r="H9" s="9" t="s">
        <v>17</v>
      </c>
      <c r="I9" s="9" t="s">
        <v>18</v>
      </c>
      <c r="J9" s="7"/>
    </row>
    <row r="10" customFormat="false" ht="29.25" hidden="false" customHeight="true" outlineLevel="0" collapsed="false">
      <c r="A10" s="6" t="s">
        <v>32</v>
      </c>
      <c r="B10" s="6" t="s">
        <v>13</v>
      </c>
      <c r="C10" s="7" t="s">
        <v>26</v>
      </c>
      <c r="D10" s="8" t="s">
        <v>33</v>
      </c>
      <c r="E10" s="8" t="s">
        <v>34</v>
      </c>
      <c r="F10" s="6" t="n">
        <v>1</v>
      </c>
      <c r="G10" s="6" t="n">
        <v>1.5</v>
      </c>
      <c r="H10" s="9" t="s">
        <v>17</v>
      </c>
      <c r="I10" s="9" t="s">
        <v>18</v>
      </c>
      <c r="J10" s="7"/>
    </row>
    <row r="11" customFormat="false" ht="29.25" hidden="false" customHeight="true" outlineLevel="0" collapsed="false">
      <c r="A11" s="10"/>
      <c r="B11" s="10"/>
      <c r="C11" s="10"/>
      <c r="D11" s="11" t="s">
        <v>35</v>
      </c>
      <c r="E11" s="10"/>
      <c r="F11" s="10" t="n">
        <f aca="false">SUM(F5:F10)</f>
        <v>8</v>
      </c>
      <c r="G11" s="10" t="n">
        <f aca="false">SUM(G5:G10)</f>
        <v>10</v>
      </c>
      <c r="H11" s="10"/>
      <c r="I11" s="10"/>
      <c r="J11" s="10"/>
    </row>
    <row r="12" customFormat="false" ht="29.25" hidden="false" customHeight="true" outlineLevel="0" collapsed="false">
      <c r="A12" s="6" t="s">
        <v>36</v>
      </c>
      <c r="B12" s="6" t="s">
        <v>37</v>
      </c>
      <c r="C12" s="7" t="s">
        <v>14</v>
      </c>
      <c r="D12" s="8" t="s">
        <v>15</v>
      </c>
      <c r="E12" s="8" t="s">
        <v>16</v>
      </c>
      <c r="F12" s="6" t="n">
        <v>1</v>
      </c>
      <c r="G12" s="6" t="n">
        <v>1</v>
      </c>
      <c r="H12" s="9" t="s">
        <v>17</v>
      </c>
      <c r="I12" s="9" t="s">
        <v>18</v>
      </c>
      <c r="J12" s="7"/>
    </row>
    <row r="13" customFormat="false" ht="29.25" hidden="false" customHeight="true" outlineLevel="0" collapsed="false">
      <c r="A13" s="6" t="s">
        <v>38</v>
      </c>
      <c r="B13" s="6" t="s">
        <v>37</v>
      </c>
      <c r="C13" s="7" t="s">
        <v>14</v>
      </c>
      <c r="D13" s="8" t="s">
        <v>20</v>
      </c>
      <c r="E13" s="8" t="s">
        <v>21</v>
      </c>
      <c r="F13" s="6" t="n">
        <v>2</v>
      </c>
      <c r="G13" s="6" t="n">
        <v>2.5</v>
      </c>
      <c r="H13" s="9" t="s">
        <v>17</v>
      </c>
      <c r="I13" s="9" t="s">
        <v>18</v>
      </c>
      <c r="J13" s="7"/>
    </row>
    <row r="14" customFormat="false" ht="15" hidden="false" customHeight="true" outlineLevel="0" collapsed="false">
      <c r="A14" s="6" t="s">
        <v>39</v>
      </c>
      <c r="B14" s="6" t="s">
        <v>37</v>
      </c>
      <c r="C14" s="7" t="s">
        <v>14</v>
      </c>
      <c r="D14" s="8" t="s">
        <v>23</v>
      </c>
      <c r="E14" s="8" t="s">
        <v>24</v>
      </c>
      <c r="F14" s="6" t="n">
        <v>0.5</v>
      </c>
      <c r="G14" s="6" t="n">
        <v>0.5</v>
      </c>
      <c r="H14" s="9" t="s">
        <v>17</v>
      </c>
      <c r="I14" s="9" t="s">
        <v>18</v>
      </c>
      <c r="J14" s="7"/>
    </row>
    <row r="15" customFormat="false" ht="29.25" hidden="false" customHeight="true" outlineLevel="0" collapsed="false">
      <c r="A15" s="6" t="s">
        <v>40</v>
      </c>
      <c r="B15" s="6" t="s">
        <v>37</v>
      </c>
      <c r="C15" s="7" t="s">
        <v>26</v>
      </c>
      <c r="D15" s="8" t="s">
        <v>27</v>
      </c>
      <c r="E15" s="8" t="s">
        <v>28</v>
      </c>
      <c r="F15" s="6" t="n">
        <v>2</v>
      </c>
      <c r="G15" s="6" t="n">
        <v>2.5</v>
      </c>
      <c r="H15" s="9" t="s">
        <v>17</v>
      </c>
      <c r="I15" s="9" t="s">
        <v>18</v>
      </c>
      <c r="J15" s="7"/>
    </row>
    <row r="16" customFormat="false" ht="29.25" hidden="false" customHeight="true" outlineLevel="0" collapsed="false">
      <c r="A16" s="6" t="s">
        <v>41</v>
      </c>
      <c r="B16" s="6" t="s">
        <v>37</v>
      </c>
      <c r="C16" s="7" t="s">
        <v>26</v>
      </c>
      <c r="D16" s="8" t="s">
        <v>30</v>
      </c>
      <c r="E16" s="8" t="s">
        <v>31</v>
      </c>
      <c r="F16" s="6" t="n">
        <v>1.5</v>
      </c>
      <c r="G16" s="6" t="n">
        <v>2</v>
      </c>
      <c r="H16" s="9" t="s">
        <v>17</v>
      </c>
      <c r="I16" s="9" t="s">
        <v>18</v>
      </c>
      <c r="J16" s="7"/>
    </row>
    <row r="17" customFormat="false" ht="29.25" hidden="false" customHeight="true" outlineLevel="0" collapsed="false">
      <c r="A17" s="6" t="s">
        <v>42</v>
      </c>
      <c r="B17" s="6" t="s">
        <v>37</v>
      </c>
      <c r="C17" s="7" t="s">
        <v>26</v>
      </c>
      <c r="D17" s="8" t="s">
        <v>33</v>
      </c>
      <c r="E17" s="8" t="s">
        <v>34</v>
      </c>
      <c r="F17" s="6" t="n">
        <v>1</v>
      </c>
      <c r="G17" s="6" t="n">
        <v>1.5</v>
      </c>
      <c r="H17" s="9" t="s">
        <v>17</v>
      </c>
      <c r="I17" s="9" t="s">
        <v>18</v>
      </c>
      <c r="J17" s="7"/>
    </row>
    <row r="18" customFormat="false" ht="29.25" hidden="false" customHeight="true" outlineLevel="0" collapsed="false">
      <c r="A18" s="10"/>
      <c r="B18" s="10"/>
      <c r="C18" s="10"/>
      <c r="D18" s="11" t="s">
        <v>43</v>
      </c>
      <c r="E18" s="10"/>
      <c r="F18" s="10" t="n">
        <f aca="false">SUM(F12:F17)</f>
        <v>8</v>
      </c>
      <c r="G18" s="10" t="n">
        <f aca="false">SUM(G12:G17)</f>
        <v>10</v>
      </c>
      <c r="H18" s="10"/>
      <c r="I18" s="10"/>
      <c r="J18" s="10"/>
    </row>
    <row r="19" customFormat="false" ht="29.25" hidden="false" customHeight="true" outlineLevel="0" collapsed="false">
      <c r="A19" s="6" t="s">
        <v>44</v>
      </c>
      <c r="B19" s="6" t="s">
        <v>45</v>
      </c>
      <c r="C19" s="7" t="s">
        <v>14</v>
      </c>
      <c r="D19" s="8" t="s">
        <v>15</v>
      </c>
      <c r="E19" s="8" t="s">
        <v>16</v>
      </c>
      <c r="F19" s="6" t="n">
        <v>1</v>
      </c>
      <c r="G19" s="6" t="n">
        <v>1</v>
      </c>
      <c r="H19" s="9" t="s">
        <v>17</v>
      </c>
      <c r="I19" s="9" t="s">
        <v>18</v>
      </c>
      <c r="J19" s="7"/>
    </row>
    <row r="20" customFormat="false" ht="29.25" hidden="false" customHeight="true" outlineLevel="0" collapsed="false">
      <c r="A20" s="6" t="s">
        <v>46</v>
      </c>
      <c r="B20" s="6" t="s">
        <v>45</v>
      </c>
      <c r="C20" s="7" t="s">
        <v>14</v>
      </c>
      <c r="D20" s="8" t="s">
        <v>20</v>
      </c>
      <c r="E20" s="8" t="s">
        <v>21</v>
      </c>
      <c r="F20" s="6" t="n">
        <v>2</v>
      </c>
      <c r="G20" s="6" t="n">
        <v>2.5</v>
      </c>
      <c r="H20" s="9" t="s">
        <v>17</v>
      </c>
      <c r="I20" s="9" t="s">
        <v>18</v>
      </c>
      <c r="J20" s="7"/>
    </row>
    <row r="21" customFormat="false" ht="15" hidden="false" customHeight="true" outlineLevel="0" collapsed="false">
      <c r="A21" s="6" t="s">
        <v>47</v>
      </c>
      <c r="B21" s="6" t="s">
        <v>45</v>
      </c>
      <c r="C21" s="7" t="s">
        <v>14</v>
      </c>
      <c r="D21" s="8" t="s">
        <v>23</v>
      </c>
      <c r="E21" s="8" t="s">
        <v>24</v>
      </c>
      <c r="F21" s="6" t="n">
        <v>0.5</v>
      </c>
      <c r="G21" s="6" t="n">
        <v>0.5</v>
      </c>
      <c r="H21" s="9" t="s">
        <v>17</v>
      </c>
      <c r="I21" s="9" t="s">
        <v>18</v>
      </c>
      <c r="J21" s="7"/>
    </row>
    <row r="22" customFormat="false" ht="29.25" hidden="false" customHeight="true" outlineLevel="0" collapsed="false">
      <c r="A22" s="6" t="s">
        <v>48</v>
      </c>
      <c r="B22" s="6" t="s">
        <v>45</v>
      </c>
      <c r="C22" s="7" t="s">
        <v>26</v>
      </c>
      <c r="D22" s="8" t="s">
        <v>27</v>
      </c>
      <c r="E22" s="8" t="s">
        <v>28</v>
      </c>
      <c r="F22" s="6" t="n">
        <v>2</v>
      </c>
      <c r="G22" s="6" t="n">
        <v>2.5</v>
      </c>
      <c r="H22" s="9" t="s">
        <v>17</v>
      </c>
      <c r="I22" s="9" t="s">
        <v>18</v>
      </c>
      <c r="J22" s="7"/>
    </row>
    <row r="23" customFormat="false" ht="29.25" hidden="false" customHeight="true" outlineLevel="0" collapsed="false">
      <c r="A23" s="6" t="s">
        <v>49</v>
      </c>
      <c r="B23" s="6" t="s">
        <v>45</v>
      </c>
      <c r="C23" s="7" t="s">
        <v>26</v>
      </c>
      <c r="D23" s="8" t="s">
        <v>30</v>
      </c>
      <c r="E23" s="8" t="s">
        <v>31</v>
      </c>
      <c r="F23" s="6" t="n">
        <v>1.5</v>
      </c>
      <c r="G23" s="6" t="n">
        <v>2</v>
      </c>
      <c r="H23" s="9" t="s">
        <v>17</v>
      </c>
      <c r="I23" s="9" t="s">
        <v>18</v>
      </c>
      <c r="J23" s="7"/>
    </row>
    <row r="24" customFormat="false" ht="29.25" hidden="false" customHeight="true" outlineLevel="0" collapsed="false">
      <c r="A24" s="6" t="s">
        <v>50</v>
      </c>
      <c r="B24" s="6" t="s">
        <v>45</v>
      </c>
      <c r="C24" s="7" t="s">
        <v>26</v>
      </c>
      <c r="D24" s="8" t="s">
        <v>33</v>
      </c>
      <c r="E24" s="8" t="s">
        <v>34</v>
      </c>
      <c r="F24" s="6" t="n">
        <v>1</v>
      </c>
      <c r="G24" s="6" t="n">
        <v>1.5</v>
      </c>
      <c r="H24" s="9" t="s">
        <v>17</v>
      </c>
      <c r="I24" s="9" t="s">
        <v>18</v>
      </c>
      <c r="J24" s="7"/>
    </row>
    <row r="25" customFormat="false" ht="29.25" hidden="false" customHeight="true" outlineLevel="0" collapsed="false">
      <c r="A25" s="10"/>
      <c r="B25" s="10"/>
      <c r="C25" s="10"/>
      <c r="D25" s="11" t="s">
        <v>51</v>
      </c>
      <c r="E25" s="10"/>
      <c r="F25" s="10" t="n">
        <f aca="false">SUM(F19:F24)</f>
        <v>8</v>
      </c>
      <c r="G25" s="10" t="n">
        <f aca="false">SUM(G19:G24)</f>
        <v>10</v>
      </c>
      <c r="H25" s="10"/>
      <c r="I25" s="10"/>
      <c r="J25" s="10"/>
    </row>
    <row r="26" customFormat="false" ht="16.5" hidden="false" customHeight="true" outlineLevel="0" collapsed="false">
      <c r="A26" s="12"/>
      <c r="B26" s="12"/>
      <c r="C26" s="12"/>
      <c r="D26" s="13" t="s">
        <v>52</v>
      </c>
      <c r="E26" s="12"/>
      <c r="F26" s="12" t="n">
        <f aca="false">F11+F18+F25</f>
        <v>24</v>
      </c>
      <c r="G26" s="12" t="n">
        <f aca="false">G11+G18+G25</f>
        <v>30</v>
      </c>
      <c r="H26" s="12"/>
      <c r="I26" s="12"/>
      <c r="J26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2" style="1" width="14"/>
  </cols>
  <sheetData>
    <row r="1" customFormat="false" ht="17.25" hidden="false" customHeight="true" outlineLevel="0" collapsed="false">
      <c r="A1" s="14" t="s">
        <v>53</v>
      </c>
    </row>
    <row r="3" customFormat="false" ht="16.5" hidden="false" customHeight="true" outlineLevel="0" collapsed="false">
      <c r="A3" s="5" t="s">
        <v>3</v>
      </c>
      <c r="B3" s="5" t="s">
        <v>7</v>
      </c>
      <c r="C3" s="5" t="s">
        <v>8</v>
      </c>
    </row>
    <row r="4" customFormat="false" ht="15" hidden="false" customHeight="true" outlineLevel="0" collapsed="false">
      <c r="A4" s="7" t="s">
        <v>13</v>
      </c>
      <c r="B4" s="6" t="n">
        <f aca="false">SUMIFS(WBS!$F:$F,WBS!$B:$B,A4)</f>
        <v>8</v>
      </c>
      <c r="C4" s="6" t="n">
        <f aca="false">SUMIFS(WBS!$G:$G,WBS!$B:$B,A4)</f>
        <v>10</v>
      </c>
    </row>
    <row r="5" customFormat="false" ht="15" hidden="false" customHeight="true" outlineLevel="0" collapsed="false">
      <c r="A5" s="7" t="s">
        <v>37</v>
      </c>
      <c r="B5" s="6" t="n">
        <f aca="false">SUMIFS(WBS!$F:$F,WBS!$B:$B,A5)</f>
        <v>8</v>
      </c>
      <c r="C5" s="6" t="n">
        <f aca="false">SUMIFS(WBS!$G:$G,WBS!$B:$B,A5)</f>
        <v>10</v>
      </c>
    </row>
    <row r="6" customFormat="false" ht="15" hidden="false" customHeight="true" outlineLevel="0" collapsed="false">
      <c r="A6" s="7" t="s">
        <v>45</v>
      </c>
      <c r="B6" s="6" t="n">
        <f aca="false">SUMIFS(WBS!$F:$F,WBS!$B:$B,A6)</f>
        <v>8</v>
      </c>
      <c r="C6" s="6" t="n">
        <f aca="false">SUMIFS(WBS!$G:$G,WBS!$B:$B,A6)</f>
        <v>10</v>
      </c>
    </row>
    <row r="7" customFormat="false" ht="15" hidden="false" customHeight="true" outlineLevel="0" collapsed="false">
      <c r="A7" s="15" t="s">
        <v>54</v>
      </c>
      <c r="B7" s="16" t="n">
        <f aca="false">SUM(B4:B6)</f>
        <v>24</v>
      </c>
      <c r="C7" s="16" t="n">
        <f aca="false">SUM(C4:C6)</f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2026-06-17T14:28:57Z</dcterms:created>
  <dc:creator>openpyxl</dc:creator>
  <dc:description/>
  <dc:language>en-US</dc:language>
  <cp:lastModifiedBy/>
  <dcterms:modified xsi:type="dcterms:W3CDTF">2026-06-17T14:55:52Z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